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zin\Downloads\"/>
    </mc:Choice>
  </mc:AlternateContent>
  <xr:revisionPtr revIDLastSave="0" documentId="13_ncr:1_{8658477B-0705-4DD3-86EA-69927013819F}" xr6:coauthVersionLast="47" xr6:coauthVersionMax="47" xr10:uidLastSave="{00000000-0000-0000-0000-000000000000}"/>
  <bookViews>
    <workbookView xWindow="-110" yWindow="-110" windowWidth="19420" windowHeight="11500" xr2:uid="{A15B3FEA-B764-184D-BC44-F828B0BB3928}"/>
  </bookViews>
  <sheets>
    <sheet name="Dashboard" sheetId="6" r:id="rId1"/>
  </sheets>
  <definedNames>
    <definedName name="_xlchart.v5.0" hidden="1">Dashboard!$Y$29:$Y$33</definedName>
    <definedName name="_xlchart.v5.1" hidden="1">Dashboard!$Z$29:$Z$33</definedName>
    <definedName name="CalendarYear">#REF!</definedName>
    <definedName name="ColumnTitleRegion1..H12.1">#REF!</definedName>
    <definedName name="ColumnTitleRegion1..H12.10">#REF!</definedName>
    <definedName name="ColumnTitleRegion1..H12.11">#REF!</definedName>
    <definedName name="ColumnTitleRegion1..H12.12">#REF!</definedName>
    <definedName name="ColumnTitleRegion1..H12.2">#REF!</definedName>
    <definedName name="ColumnTitleRegion1..H12.3">#REF!</definedName>
    <definedName name="ColumnTitleRegion1..H12.4">#REF!</definedName>
    <definedName name="ColumnTitleRegion1..H12.5">#REF!</definedName>
    <definedName name="ColumnTitleRegion1..H12.6">#REF!</definedName>
    <definedName name="ColumnTitleRegion1..H12.7">#REF!</definedName>
    <definedName name="ColumnTitleRegion1..H12.8">#REF!</definedName>
    <definedName name="ColumnTitleRegion1..H12.9">#REF!</definedName>
    <definedName name="ColumnTitleRegion2..C14.1">#REF!</definedName>
    <definedName name="ColumnTitleRegion2..C14.10">#REF!</definedName>
    <definedName name="ColumnTitleRegion2..C14.11">#REF!</definedName>
    <definedName name="ColumnTitleRegion2..C14.12">#REF!</definedName>
    <definedName name="ColumnTitleRegion2..C14.2">#REF!</definedName>
    <definedName name="ColumnTitleRegion2..C14.3">#REF!</definedName>
    <definedName name="ColumnTitleRegion2..C14.4">#REF!</definedName>
    <definedName name="ColumnTitleRegion2..C14.5">#REF!</definedName>
    <definedName name="ColumnTitleRegion2..C14.6">#REF!</definedName>
    <definedName name="ColumnTitleRegion2..C14.7">#REF!</definedName>
    <definedName name="ColumnTitleRegion2..C14.8">#REF!</definedName>
    <definedName name="ColumnTitleRegion2..C14.9">#REF!</definedName>
    <definedName name="DaysAndWeeks">{0,1,2,3,4,5,6} + {0;1;2;3;4;5}*7</definedName>
    <definedName name="WeekStart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6" l="1"/>
  <c r="V13" i="6"/>
  <c r="U13" i="6"/>
  <c r="H20" i="6"/>
  <c r="H21" i="6"/>
  <c r="H22" i="6"/>
  <c r="H23" i="6"/>
  <c r="H24" i="6"/>
  <c r="W6" i="6"/>
  <c r="W7" i="6"/>
  <c r="Z32" i="6"/>
  <c r="Z31" i="6"/>
  <c r="D19" i="6"/>
  <c r="E19" i="6" s="1"/>
  <c r="F19" i="6" s="1"/>
  <c r="AA21" i="6"/>
  <c r="AA23" i="6" s="1"/>
  <c r="V21" i="6"/>
  <c r="V23" i="6" s="1"/>
  <c r="Z33" i="6" l="1"/>
  <c r="W8" i="6" l="1"/>
  <c r="W9" i="6" l="1"/>
  <c r="W11" i="6" l="1"/>
  <c r="W10" i="6"/>
</calcChain>
</file>

<file path=xl/sharedStrings.xml><?xml version="1.0" encoding="utf-8"?>
<sst xmlns="http://schemas.openxmlformats.org/spreadsheetml/2006/main" count="58" uniqueCount="50">
  <si>
    <t>Develop Solution</t>
  </si>
  <si>
    <t>Testing</t>
  </si>
  <si>
    <t>Implementation</t>
  </si>
  <si>
    <t>Start Date</t>
  </si>
  <si>
    <t>End Date</t>
  </si>
  <si>
    <t>Client Onboarding</t>
  </si>
  <si>
    <t>Trend</t>
  </si>
  <si>
    <t>Spain</t>
  </si>
  <si>
    <t>France</t>
  </si>
  <si>
    <t>Germany</t>
  </si>
  <si>
    <t>Italy</t>
  </si>
  <si>
    <t>Austria</t>
  </si>
  <si>
    <t>Average</t>
  </si>
  <si>
    <t>Insert Score --&gt;</t>
  </si>
  <si>
    <t>Range</t>
  </si>
  <si>
    <t>Point</t>
  </si>
  <si>
    <t>Min</t>
  </si>
  <si>
    <t>Bad</t>
  </si>
  <si>
    <t>Good</t>
  </si>
  <si>
    <t>Max</t>
  </si>
  <si>
    <t>Budget</t>
  </si>
  <si>
    <t>Actual</t>
  </si>
  <si>
    <t>Office Space</t>
  </si>
  <si>
    <t>Marketing</t>
  </si>
  <si>
    <t>Budget vs. Actual Expenses</t>
  </si>
  <si>
    <t>Sales by Country ($ thousands)</t>
  </si>
  <si>
    <t>Portugal</t>
  </si>
  <si>
    <t>Reviews Score (%)</t>
  </si>
  <si>
    <t>Project Roadmap</t>
  </si>
  <si>
    <t>4m Growth</t>
  </si>
  <si>
    <t>Wages</t>
  </si>
  <si>
    <t>COGS</t>
  </si>
  <si>
    <t>Banking Fees</t>
  </si>
  <si>
    <t>Staff Turnover</t>
  </si>
  <si>
    <t>2022 Total</t>
  </si>
  <si>
    <t>New Hires</t>
  </si>
  <si>
    <t>Layoffs</t>
  </si>
  <si>
    <t>Departures</t>
  </si>
  <si>
    <t>2023 Total</t>
  </si>
  <si>
    <t>Monitoring</t>
  </si>
  <si>
    <t>Data Gathering</t>
  </si>
  <si>
    <t>Project Roadmap (Gantt Chart)</t>
  </si>
  <si>
    <t>Staff Turnover (Waterfall)</t>
  </si>
  <si>
    <t>Budget vs Actuals (Column Chart)</t>
  </si>
  <si>
    <t>Customer Satifaction Score (Gauge Chart)</t>
  </si>
  <si>
    <t>Employee Satisfaction Score (Gauge Chart)</t>
  </si>
  <si>
    <t>Raw Data -&gt;</t>
  </si>
  <si>
    <t>Satisfaction Scores</t>
  </si>
  <si>
    <t>Consulting Project Dashboard</t>
  </si>
  <si>
    <t>Duration(days)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</si>
</sst>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rgb="FF2A3E6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14"/>
      <color rgb="FF2A3E68"/>
      <name val="Calibri"/>
      <family val="2"/>
      <scheme val="minor"/>
    </font>
    <font>
      <b/>
      <sz val="22"/>
      <color rgb="FF2A3E68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A3E6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 applyNumberFormat="0" applyFill="0" applyBorder="0" applyAlignment="0" applyProtection="0"/>
  </cellStyleXfs>
  <cellXfs count="29">
    <xf numFmtId="0" fontId="0" fillId="0" borderId="0" xfId="0"/>
    <xf numFmtId="0" fontId="3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0" xfId="0" applyFont="1"/>
    <xf numFmtId="0" fontId="4" fillId="0" borderId="0" xfId="0" applyFont="1" applyAlignment="1">
      <alignment horizontal="right"/>
    </xf>
    <xf numFmtId="0" fontId="6" fillId="0" borderId="4" xfId="0" applyFont="1" applyBorder="1"/>
    <xf numFmtId="17" fontId="3" fillId="0" borderId="1" xfId="0" applyNumberFormat="1" applyFont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3" borderId="0" xfId="0" applyFill="1"/>
    <xf numFmtId="0" fontId="4" fillId="3" borderId="0" xfId="0" applyFont="1" applyFill="1"/>
    <xf numFmtId="1" fontId="0" fillId="0" borderId="0" xfId="0" applyNumberFormat="1" applyAlignment="1">
      <alignment horizontal="center"/>
    </xf>
    <xf numFmtId="9" fontId="0" fillId="0" borderId="0" xfId="1" applyFont="1"/>
    <xf numFmtId="0" fontId="5" fillId="0" borderId="4" xfId="0" applyFont="1" applyBorder="1"/>
    <xf numFmtId="9" fontId="4" fillId="4" borderId="3" xfId="1" applyFont="1" applyFill="1" applyBorder="1" applyAlignment="1">
      <alignment horizontal="center"/>
    </xf>
    <xf numFmtId="0" fontId="5" fillId="4" borderId="5" xfId="0" applyFont="1" applyFill="1" applyBorder="1"/>
    <xf numFmtId="0" fontId="8" fillId="0" borderId="4" xfId="0" applyFont="1" applyBorder="1"/>
    <xf numFmtId="0" fontId="9" fillId="0" borderId="4" xfId="0" applyFont="1" applyBorder="1"/>
    <xf numFmtId="0" fontId="4" fillId="0" borderId="2" xfId="0" applyFont="1" applyBorder="1" applyAlignment="1">
      <alignment horizontal="right"/>
    </xf>
    <xf numFmtId="0" fontId="10" fillId="0" borderId="4" xfId="0" applyFont="1" applyBorder="1"/>
    <xf numFmtId="14" fontId="0" fillId="0" borderId="0" xfId="0" applyNumberFormat="1"/>
    <xf numFmtId="0" fontId="0" fillId="0" borderId="0" xfId="0" applyAlignment="1">
      <alignment horizontal="center"/>
    </xf>
    <xf numFmtId="0" fontId="11" fillId="0" borderId="0" xfId="0" applyFont="1"/>
    <xf numFmtId="0" fontId="0" fillId="0" borderId="0" xfId="0" applyAlignment="1">
      <alignment horizontal="right"/>
    </xf>
    <xf numFmtId="9" fontId="0" fillId="0" borderId="0" xfId="0" applyNumberFormat="1"/>
    <xf numFmtId="10" fontId="0" fillId="0" borderId="0" xfId="0" applyNumberFormat="1"/>
    <xf numFmtId="0" fontId="11" fillId="0" borderId="0" xfId="0" applyFont="1" applyAlignment="1">
      <alignment horizontal="center"/>
    </xf>
    <xf numFmtId="2" fontId="0" fillId="0" borderId="0" xfId="0" applyNumberFormat="1"/>
    <xf numFmtId="0" fontId="7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</cellXfs>
  <cellStyles count="4">
    <cellStyle name="Hyperlink 2" xfId="3" xr:uid="{AC10F535-2BEC-3945-BAA7-42CB5BD53D9D}"/>
    <cellStyle name="Normal" xfId="0" builtinId="0"/>
    <cellStyle name="Normal 2" xfId="2" xr:uid="{5D9FDD35-9A51-6343-9208-B4DABC659E87}"/>
    <cellStyle name="Percent" xfId="1" builtinId="5"/>
  </cellStyles>
  <dxfs count="0"/>
  <tableStyles count="0" defaultTableStyle="TableStyleMedium2" defaultPivotStyle="PivotStyleLight16"/>
  <colors>
    <mruColors>
      <color rgb="FF2A3E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291874321551892"/>
          <c:y val="6.979273082729201E-2"/>
          <c:w val="0.78654253493174764"/>
          <c:h val="0.86884518182293113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Dashboard!$U$5</c:f>
              <c:strCache>
                <c:ptCount val="1"/>
                <c:pt idx="0">
                  <c:v>Start Date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Dashboard!$T$6:$T$11</c:f>
              <c:strCache>
                <c:ptCount val="6"/>
                <c:pt idx="0">
                  <c:v>Client Onboarding</c:v>
                </c:pt>
                <c:pt idx="1">
                  <c:v>Data Gathering</c:v>
                </c:pt>
                <c:pt idx="2">
                  <c:v>Develop Solution</c:v>
                </c:pt>
                <c:pt idx="3">
                  <c:v>Testing</c:v>
                </c:pt>
                <c:pt idx="4">
                  <c:v>Implementation</c:v>
                </c:pt>
                <c:pt idx="5">
                  <c:v>Monitoring</c:v>
                </c:pt>
              </c:strCache>
            </c:strRef>
          </c:cat>
          <c:val>
            <c:numRef>
              <c:f>Dashboard!$U$6:$U$11</c:f>
              <c:numCache>
                <c:formatCode>m/d/yyyy</c:formatCode>
                <c:ptCount val="6"/>
                <c:pt idx="0">
                  <c:v>44805</c:v>
                </c:pt>
                <c:pt idx="1">
                  <c:v>44808</c:v>
                </c:pt>
                <c:pt idx="2">
                  <c:v>44818</c:v>
                </c:pt>
                <c:pt idx="3">
                  <c:v>44838</c:v>
                </c:pt>
                <c:pt idx="4">
                  <c:v>44843</c:v>
                </c:pt>
                <c:pt idx="5">
                  <c:v>44848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B4-46D0-B8A3-F2041742F66C}"/>
            </c:ext>
          </c:extLst>
        </c:ser>
        <c:ser>
          <c:idx val="1"/>
          <c:order val="1"/>
          <c:tx>
            <c:strRef>
              <c:f>Dashboard!$W$5</c:f>
              <c:strCache>
                <c:ptCount val="1"/>
                <c:pt idx="0">
                  <c:v>Duration(days)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Dashboard!$T$6:$T$11</c:f>
              <c:strCache>
                <c:ptCount val="6"/>
                <c:pt idx="0">
                  <c:v>Client Onboarding</c:v>
                </c:pt>
                <c:pt idx="1">
                  <c:v>Data Gathering</c:v>
                </c:pt>
                <c:pt idx="2">
                  <c:v>Develop Solution</c:v>
                </c:pt>
                <c:pt idx="3">
                  <c:v>Testing</c:v>
                </c:pt>
                <c:pt idx="4">
                  <c:v>Implementation</c:v>
                </c:pt>
                <c:pt idx="5">
                  <c:v>Monitoring</c:v>
                </c:pt>
              </c:strCache>
            </c:strRef>
          </c:cat>
          <c:val>
            <c:numRef>
              <c:f>Dashboard!$W$6:$W$11</c:f>
              <c:numCache>
                <c:formatCode>General</c:formatCode>
                <c:ptCount val="6"/>
                <c:pt idx="0">
                  <c:v>3</c:v>
                </c:pt>
                <c:pt idx="1">
                  <c:v>10</c:v>
                </c:pt>
                <c:pt idx="2">
                  <c:v>20</c:v>
                </c:pt>
                <c:pt idx="3">
                  <c:v>5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B4-46D0-B8A3-F2041742F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5341727"/>
        <c:axId val="775340767"/>
      </c:barChart>
      <c:catAx>
        <c:axId val="77534172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5340767"/>
        <c:crosses val="autoZero"/>
        <c:auto val="1"/>
        <c:lblAlgn val="ctr"/>
        <c:lblOffset val="100"/>
        <c:noMultiLvlLbl val="0"/>
      </c:catAx>
      <c:valAx>
        <c:axId val="775340767"/>
        <c:scaling>
          <c:orientation val="minMax"/>
          <c:max val="44855"/>
          <c:min val="44805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5341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B24-4745-9DBC-A174CED68FE2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7EE-4184-98CB-6AD32143283F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7EE-4184-98CB-6AD32143283F}"/>
              </c:ext>
            </c:extLst>
          </c:dPt>
          <c:dPt>
            <c:idx val="3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7EE-4184-98CB-6AD32143283F}"/>
              </c:ext>
            </c:extLst>
          </c:dPt>
          <c:dPt>
            <c:idx val="4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7EE-4184-98CB-6AD32143283F}"/>
              </c:ext>
            </c:extLst>
          </c:dPt>
          <c:val>
            <c:numRef>
              <c:f>Dashboard!$U$21:$U$25</c:f>
              <c:numCache>
                <c:formatCode>0%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0.25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EE-4184-98CB-6AD321432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55"/>
      </c:doughnutChart>
      <c:pieChart>
        <c:varyColors val="1"/>
        <c:ser>
          <c:idx val="1"/>
          <c:order val="1"/>
          <c:tx>
            <c:strRef>
              <c:f>Dashboard!$V$20</c:f>
              <c:strCache>
                <c:ptCount val="1"/>
                <c:pt idx="0">
                  <c:v>Point</c:v>
                </c:pt>
              </c:strCache>
            </c:strRef>
          </c:tx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87EE-4184-98CB-6AD32143283F}"/>
              </c:ext>
            </c:extLst>
          </c:dPt>
          <c:dPt>
            <c:idx val="1"/>
            <c:bubble3D val="0"/>
            <c:spPr>
              <a:solidFill>
                <a:schemeClr val="tx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7EE-4184-98CB-6AD32143283F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7EE-4184-98CB-6AD32143283F}"/>
              </c:ext>
            </c:extLst>
          </c:dPt>
          <c:dLbls>
            <c:dLbl>
              <c:idx val="1"/>
              <c:tx>
                <c:strRef>
                  <c:f>Dashboard!$V$18</c:f>
                  <c:strCache>
                    <c:ptCount val="1"/>
                    <c:pt idx="0">
                      <c:v>25%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{6FFCE66B-018B-450E-BF94-C173B1B5C27A}</c15:txfldGUID>
                      <c15:f>Dashboard!$V$18</c15:f>
                      <c15:dlblFieldTableCache>
                        <c:ptCount val="1"/>
                        <c:pt idx="0">
                          <c:v>25%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7EE-4184-98CB-6AD3214328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Dashboard!$V$21:$V$23</c:f>
              <c:numCache>
                <c:formatCode>0%</c:formatCode>
                <c:ptCount val="3"/>
                <c:pt idx="0">
                  <c:v>0.25</c:v>
                </c:pt>
                <c:pt idx="1">
                  <c:v>0.02</c:v>
                </c:pt>
                <c:pt idx="2" formatCode="0.00%">
                  <c:v>1.73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7EE-4184-98CB-6AD321432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Dashboard!$Z$20</c:f>
              <c:strCache>
                <c:ptCount val="1"/>
                <c:pt idx="0">
                  <c:v>Range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1FC-48E3-A1E8-EAB020EC213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6E6-4DDE-AD2E-765326A3DEC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6E6-4DDE-AD2E-765326A3DEC7}"/>
              </c:ext>
            </c:extLst>
          </c:dPt>
          <c:dPt>
            <c:idx val="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6E6-4DDE-AD2E-765326A3DEC7}"/>
              </c:ext>
            </c:extLst>
          </c:dPt>
          <c:dPt>
            <c:idx val="4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6E6-4DDE-AD2E-765326A3DEC7}"/>
              </c:ext>
            </c:extLst>
          </c:dPt>
          <c:val>
            <c:numRef>
              <c:f>Dashboard!$Z$21:$Z$25</c:f>
              <c:numCache>
                <c:formatCode>0%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0.25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E6-4DDE-AD2E-765326A3D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55"/>
      </c:doughnutChart>
      <c:pieChart>
        <c:varyColors val="1"/>
        <c:ser>
          <c:idx val="1"/>
          <c:order val="1"/>
          <c:tx>
            <c:strRef>
              <c:f>Dashboard!$AA$20</c:f>
              <c:strCache>
                <c:ptCount val="1"/>
                <c:pt idx="0">
                  <c:v>Point</c:v>
                </c:pt>
              </c:strCache>
            </c:strRef>
          </c:tx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86E6-4DDE-AD2E-765326A3DEC7}"/>
              </c:ext>
            </c:extLst>
          </c:dPt>
          <c:dPt>
            <c:idx val="1"/>
            <c:bubble3D val="0"/>
            <c:spPr>
              <a:solidFill>
                <a:schemeClr val="tx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E6-4DDE-AD2E-765326A3DEC7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6E6-4DDE-AD2E-765326A3DEC7}"/>
              </c:ext>
            </c:extLst>
          </c:dPt>
          <c:dLbls>
            <c:dLbl>
              <c:idx val="1"/>
              <c:tx>
                <c:strRef>
                  <c:f>Dashboard!$AA$18</c:f>
                  <c:strCache>
                    <c:ptCount val="1"/>
                    <c:pt idx="0">
                      <c:v>45%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{FB10F61C-F141-49E1-9907-36D1F3373472}</c15:txfldGUID>
                      <c15:f>Dashboard!$AA$18</c15:f>
                      <c15:dlblFieldTableCache>
                        <c:ptCount val="1"/>
                        <c:pt idx="0">
                          <c:v>45%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6E6-4DDE-AD2E-765326A3DE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Dashboard!$AA$21:$AA$23</c:f>
              <c:numCache>
                <c:formatCode>0%</c:formatCode>
                <c:ptCount val="3"/>
                <c:pt idx="0">
                  <c:v>0.45</c:v>
                </c:pt>
                <c:pt idx="1">
                  <c:v>0.02</c:v>
                </c:pt>
                <c:pt idx="2" formatCode="0.00%">
                  <c:v>1.53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E6-4DDE-AD2E-765326A3D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Dashboard!$U$28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f>Dashboard!$T$29:$T$33</c:f>
              <c:strCache>
                <c:ptCount val="5"/>
                <c:pt idx="0">
                  <c:v>Wages</c:v>
                </c:pt>
                <c:pt idx="1">
                  <c:v>Office Space</c:v>
                </c:pt>
                <c:pt idx="2">
                  <c:v>Marketing</c:v>
                </c:pt>
                <c:pt idx="3">
                  <c:v>COGS</c:v>
                </c:pt>
                <c:pt idx="4">
                  <c:v>Banking Fees</c:v>
                </c:pt>
              </c:strCache>
            </c:strRef>
          </c:cat>
          <c:val>
            <c:numRef>
              <c:f>Dashboard!$U$29:$U$33</c:f>
              <c:numCache>
                <c:formatCode>General</c:formatCode>
                <c:ptCount val="5"/>
                <c:pt idx="0">
                  <c:v>450</c:v>
                </c:pt>
                <c:pt idx="1">
                  <c:v>111</c:v>
                </c:pt>
                <c:pt idx="2">
                  <c:v>305</c:v>
                </c:pt>
                <c:pt idx="3">
                  <c:v>240</c:v>
                </c:pt>
                <c:pt idx="4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81-4ABE-A6D7-AC94DA3BC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7370016"/>
        <c:axId val="1537371456"/>
      </c:barChart>
      <c:barChart>
        <c:barDir val="col"/>
        <c:grouping val="clustered"/>
        <c:varyColors val="0"/>
        <c:ser>
          <c:idx val="1"/>
          <c:order val="1"/>
          <c:tx>
            <c:strRef>
              <c:f>Dashboard!$V$28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Dashboard!$T$29:$T$33</c:f>
              <c:strCache>
                <c:ptCount val="5"/>
                <c:pt idx="0">
                  <c:v>Wages</c:v>
                </c:pt>
                <c:pt idx="1">
                  <c:v>Office Space</c:v>
                </c:pt>
                <c:pt idx="2">
                  <c:v>Marketing</c:v>
                </c:pt>
                <c:pt idx="3">
                  <c:v>COGS</c:v>
                </c:pt>
                <c:pt idx="4">
                  <c:v>Banking Fees</c:v>
                </c:pt>
              </c:strCache>
            </c:strRef>
          </c:cat>
          <c:val>
            <c:numRef>
              <c:f>Dashboard!$V$29:$V$33</c:f>
              <c:numCache>
                <c:formatCode>General</c:formatCode>
                <c:ptCount val="5"/>
                <c:pt idx="0">
                  <c:v>360</c:v>
                </c:pt>
                <c:pt idx="1">
                  <c:v>50</c:v>
                </c:pt>
                <c:pt idx="2">
                  <c:v>425</c:v>
                </c:pt>
                <c:pt idx="3">
                  <c:v>195</c:v>
                </c:pt>
                <c:pt idx="4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81-4ABE-A6D7-AC94DA3BC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9"/>
        <c:overlap val="-27"/>
        <c:axId val="1537359936"/>
        <c:axId val="1537357056"/>
      </c:barChart>
      <c:catAx>
        <c:axId val="15373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371456"/>
        <c:crosses val="autoZero"/>
        <c:auto val="1"/>
        <c:lblAlgn val="ctr"/>
        <c:lblOffset val="100"/>
        <c:noMultiLvlLbl val="0"/>
      </c:catAx>
      <c:valAx>
        <c:axId val="153737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370016"/>
        <c:crosses val="autoZero"/>
        <c:crossBetween val="between"/>
      </c:valAx>
      <c:valAx>
        <c:axId val="1537357056"/>
        <c:scaling>
          <c:orientation val="minMax"/>
          <c:max val="500"/>
        </c:scaling>
        <c:delete val="1"/>
        <c:axPos val="r"/>
        <c:numFmt formatCode="General" sourceLinked="1"/>
        <c:majorTickMark val="out"/>
        <c:minorTickMark val="none"/>
        <c:tickLblPos val="nextTo"/>
        <c:crossAx val="1537359936"/>
        <c:crosses val="max"/>
        <c:crossBetween val="between"/>
      </c:valAx>
      <c:catAx>
        <c:axId val="15373599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373570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plotArea>
      <cx:plotAreaRegion>
        <cx:series layoutId="waterfall" uniqueId="{41755995-B1CC-47BC-AEF2-3B03347E860E}"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4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b" align="ctr" overlay="0">
      <cx:spPr>
        <a:noFill/>
        <a:ln>
          <a:noFill/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fmtOvrs>
    <cx:fmtOvr idx="1">
      <cx:spPr>
        <a:solidFill>
          <a:srgbClr val="C00000"/>
        </a:solidFill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microsoft.com/office/2014/relationships/chartEx" Target="../charts/chartEx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30480</xdr:colOff>
      <xdr:row>18</xdr:row>
      <xdr:rowOff>48288</xdr:rowOff>
    </xdr:from>
    <xdr:to>
      <xdr:col>11</xdr:col>
      <xdr:colOff>655320</xdr:colOff>
      <xdr:row>19</xdr:row>
      <xdr:rowOff>55908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27CA249-EC40-6B1E-5639-DC88DBBA6F4A}"/>
            </a:ext>
          </a:extLst>
        </xdr:cNvPr>
        <xdr:cNvSpPr txBox="1"/>
      </xdr:nvSpPr>
      <xdr:spPr>
        <a:xfrm>
          <a:off x="5836194" y="3969936"/>
          <a:ext cx="1964621" cy="2169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1100" b="1"/>
            <a:t>Customer Satisfaction Score</a:t>
          </a:r>
        </a:p>
      </xdr:txBody>
    </xdr:sp>
    <xdr:clientData/>
  </xdr:twoCellAnchor>
  <xdr:twoCellAnchor>
    <xdr:from>
      <xdr:col>12</xdr:col>
      <xdr:colOff>30480</xdr:colOff>
      <xdr:row>18</xdr:row>
      <xdr:rowOff>53340</xdr:rowOff>
    </xdr:from>
    <xdr:to>
      <xdr:col>14</xdr:col>
      <xdr:colOff>655320</xdr:colOff>
      <xdr:row>19</xdr:row>
      <xdr:rowOff>60960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C09C3A9-BE9A-B79E-3631-31923BB00357}"/>
            </a:ext>
          </a:extLst>
        </xdr:cNvPr>
        <xdr:cNvSpPr txBox="1"/>
      </xdr:nvSpPr>
      <xdr:spPr>
        <a:xfrm>
          <a:off x="7780020" y="3329940"/>
          <a:ext cx="1965960" cy="20574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1100" b="1"/>
            <a:t>Employee Satisfaction</a:t>
          </a:r>
          <a:r>
            <a:rPr lang="en-GB" sz="1100" b="1" baseline="0"/>
            <a:t> Score</a:t>
          </a:r>
          <a:endParaRPr lang="en-GB" sz="1100" b="1"/>
        </a:p>
      </xdr:txBody>
    </xdr:sp>
    <xdr:clientData/>
  </xdr:twoCellAnchor>
  <xdr:twoCellAnchor editAs="oneCell">
    <xdr:from>
      <xdr:col>13</xdr:col>
      <xdr:colOff>74475</xdr:colOff>
      <xdr:row>0</xdr:row>
      <xdr:rowOff>188198</xdr:rowOff>
    </xdr:from>
    <xdr:to>
      <xdr:col>14</xdr:col>
      <xdr:colOff>531330</xdr:colOff>
      <xdr:row>2</xdr:row>
      <xdr:rowOff>2810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ADCE5D-4349-2976-7AB4-2051A2AEF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68235" y="188198"/>
          <a:ext cx="1127415" cy="394625"/>
        </a:xfrm>
        <a:prstGeom prst="rect">
          <a:avLst/>
        </a:prstGeom>
      </xdr:spPr>
    </xdr:pic>
    <xdr:clientData/>
  </xdr:twoCellAnchor>
  <xdr:twoCellAnchor>
    <xdr:from>
      <xdr:col>1</xdr:col>
      <xdr:colOff>6977</xdr:colOff>
      <xdr:row>4</xdr:row>
      <xdr:rowOff>34891</xdr:rowOff>
    </xdr:from>
    <xdr:to>
      <xdr:col>15</xdr:col>
      <xdr:colOff>6977</xdr:colOff>
      <xdr:row>16</xdr:row>
      <xdr:rowOff>6979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CE4561-0012-7312-4883-0738E9DB66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153517</xdr:colOff>
      <xdr:row>19</xdr:row>
      <xdr:rowOff>72851</xdr:rowOff>
    </xdr:from>
    <xdr:to>
      <xdr:col>11</xdr:col>
      <xdr:colOff>495439</xdr:colOff>
      <xdr:row>26</xdr:row>
      <xdr:rowOff>83736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5411193-231D-6FED-E6F8-43DBE07978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613368</xdr:colOff>
      <xdr:row>19</xdr:row>
      <xdr:rowOff>72850</xdr:rowOff>
    </xdr:from>
    <xdr:to>
      <xdr:col>14</xdr:col>
      <xdr:colOff>600110</xdr:colOff>
      <xdr:row>26</xdr:row>
      <xdr:rowOff>111648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116D7E4-E161-F4B4-BBF0-3128C8C71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48149</xdr:colOff>
      <xdr:row>28</xdr:row>
      <xdr:rowOff>65872</xdr:rowOff>
    </xdr:from>
    <xdr:to>
      <xdr:col>7</xdr:col>
      <xdr:colOff>524050</xdr:colOff>
      <xdr:row>42</xdr:row>
      <xdr:rowOff>73688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CF0D6D4-0766-216A-701B-38F79E070D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362857</xdr:colOff>
      <xdr:row>28</xdr:row>
      <xdr:rowOff>90713</xdr:rowOff>
    </xdr:from>
    <xdr:to>
      <xdr:col>14</xdr:col>
      <xdr:colOff>655934</xdr:colOff>
      <xdr:row>42</xdr:row>
      <xdr:rowOff>34890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C58ECBBD-B86C-8841-5486-73F1D36439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23857" y="5767613"/>
              <a:ext cx="4026877" cy="27000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B3621-7A7D-414F-AEC3-D2B91D4CBBC6}">
  <dimension ref="B2:AB33"/>
  <sheetViews>
    <sheetView showGridLines="0" tabSelected="1" topLeftCell="A21" zoomScale="91" zoomScaleNormal="70" workbookViewId="0">
      <selection activeCell="R36" sqref="R36"/>
    </sheetView>
  </sheetViews>
  <sheetFormatPr defaultColWidth="8.83203125" defaultRowHeight="15.5" x14ac:dyDescent="0.35"/>
  <cols>
    <col min="7" max="7" width="9.83203125" customWidth="1"/>
    <col min="9" max="9" width="4.83203125" customWidth="1"/>
    <col min="20" max="20" width="15.1640625" customWidth="1"/>
    <col min="21" max="21" width="10.6640625" bestFit="1" customWidth="1"/>
    <col min="22" max="22" width="10.5" bestFit="1" customWidth="1"/>
    <col min="23" max="23" width="14.5" bestFit="1" customWidth="1"/>
    <col min="24" max="24" width="8.83203125" customWidth="1"/>
    <col min="25" max="25" width="9.6640625" customWidth="1"/>
    <col min="26" max="28" width="8.83203125" customWidth="1"/>
  </cols>
  <sheetData>
    <row r="2" spans="2:28" ht="29" thickBot="1" x14ac:dyDescent="0.7">
      <c r="B2" s="18" t="s">
        <v>48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S2" s="16" t="s">
        <v>46</v>
      </c>
      <c r="T2" s="15"/>
      <c r="U2" s="12"/>
      <c r="V2" s="12"/>
      <c r="W2" s="12"/>
      <c r="X2" s="12"/>
      <c r="Y2" s="12"/>
      <c r="Z2" s="12"/>
      <c r="AA2" s="12"/>
      <c r="AB2" s="12"/>
    </row>
    <row r="4" spans="2:28" x14ac:dyDescent="0.35">
      <c r="B4" s="28" t="s">
        <v>28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T4" s="27" t="s">
        <v>41</v>
      </c>
      <c r="U4" s="27"/>
      <c r="V4" s="27"/>
      <c r="W4" s="27"/>
    </row>
    <row r="5" spans="2:28" x14ac:dyDescent="0.35">
      <c r="U5" s="21" t="s">
        <v>3</v>
      </c>
      <c r="V5" s="21" t="s">
        <v>4</v>
      </c>
      <c r="W5" s="21" t="s">
        <v>49</v>
      </c>
    </row>
    <row r="6" spans="2:28" x14ac:dyDescent="0.35">
      <c r="T6" t="s">
        <v>5</v>
      </c>
      <c r="U6" s="19">
        <v>44805</v>
      </c>
      <c r="V6" s="19">
        <v>44808</v>
      </c>
      <c r="W6" s="20">
        <f t="shared" ref="W6:W11" si="0">V6-U6</f>
        <v>3</v>
      </c>
    </row>
    <row r="7" spans="2:28" x14ac:dyDescent="0.35">
      <c r="T7" t="s">
        <v>40</v>
      </c>
      <c r="U7" s="19">
        <v>44808</v>
      </c>
      <c r="V7" s="19">
        <v>44818</v>
      </c>
      <c r="W7" s="20">
        <f t="shared" si="0"/>
        <v>10</v>
      </c>
    </row>
    <row r="8" spans="2:28" x14ac:dyDescent="0.35">
      <c r="T8" t="s">
        <v>0</v>
      </c>
      <c r="U8" s="19">
        <v>44818</v>
      </c>
      <c r="V8" s="19">
        <v>44838</v>
      </c>
      <c r="W8" s="20">
        <f t="shared" si="0"/>
        <v>20</v>
      </c>
    </row>
    <row r="9" spans="2:28" x14ac:dyDescent="0.35">
      <c r="T9" t="s">
        <v>1</v>
      </c>
      <c r="U9" s="19">
        <v>44838</v>
      </c>
      <c r="V9" s="19">
        <v>44843</v>
      </c>
      <c r="W9" s="20">
        <f t="shared" si="0"/>
        <v>5</v>
      </c>
    </row>
    <row r="10" spans="2:28" x14ac:dyDescent="0.35">
      <c r="T10" t="s">
        <v>2</v>
      </c>
      <c r="U10" s="19">
        <v>44843</v>
      </c>
      <c r="V10" s="19">
        <v>44848</v>
      </c>
      <c r="W10" s="20">
        <f t="shared" si="0"/>
        <v>5</v>
      </c>
    </row>
    <row r="11" spans="2:28" x14ac:dyDescent="0.35">
      <c r="T11" t="s">
        <v>39</v>
      </c>
      <c r="U11" s="19">
        <v>44848</v>
      </c>
      <c r="V11" s="19">
        <v>44855</v>
      </c>
      <c r="W11" s="20">
        <f t="shared" si="0"/>
        <v>7</v>
      </c>
    </row>
    <row r="13" spans="2:28" x14ac:dyDescent="0.35">
      <c r="U13" s="26">
        <f>U6</f>
        <v>44805</v>
      </c>
      <c r="V13" s="26">
        <f>V11</f>
        <v>44855</v>
      </c>
    </row>
    <row r="16" spans="2:28" x14ac:dyDescent="0.35">
      <c r="T16" s="27" t="s">
        <v>44</v>
      </c>
      <c r="U16" s="27"/>
      <c r="V16" s="27"/>
      <c r="W16" s="27"/>
      <c r="Y16" s="27" t="s">
        <v>45</v>
      </c>
      <c r="Z16" s="27" t="s">
        <v>27</v>
      </c>
      <c r="AA16" s="27"/>
      <c r="AB16" s="27"/>
    </row>
    <row r="17" spans="2:28" x14ac:dyDescent="0.35">
      <c r="B17" s="28" t="s">
        <v>25</v>
      </c>
      <c r="C17" s="28"/>
      <c r="D17" s="28"/>
      <c r="E17" s="28"/>
      <c r="F17" s="28"/>
      <c r="G17" s="28"/>
      <c r="H17" s="28"/>
      <c r="J17" s="28" t="s">
        <v>47</v>
      </c>
      <c r="K17" s="28"/>
      <c r="L17" s="28"/>
      <c r="M17" s="28"/>
      <c r="N17" s="28"/>
      <c r="O17" s="28"/>
      <c r="S17" s="8"/>
      <c r="T17" s="9"/>
      <c r="U17" s="9"/>
      <c r="V17" s="9"/>
      <c r="W17" s="9"/>
      <c r="X17" s="8"/>
      <c r="Y17" s="9"/>
      <c r="Z17" s="9"/>
      <c r="AA17" s="9"/>
      <c r="AB17" s="9"/>
    </row>
    <row r="18" spans="2:28" s="8" customFormat="1" ht="15" customHeight="1" x14ac:dyDescent="0.35">
      <c r="B18" s="7"/>
      <c r="C18" s="7"/>
      <c r="D18" s="7"/>
      <c r="E18" s="7"/>
      <c r="F18" s="7"/>
      <c r="G18" s="7"/>
      <c r="H18" s="7"/>
      <c r="J18" s="7"/>
      <c r="K18" s="7"/>
      <c r="L18" s="7"/>
      <c r="M18" s="7"/>
      <c r="N18" s="7"/>
      <c r="O18" s="7"/>
      <c r="S18"/>
      <c r="T18" s="4" t="s">
        <v>13</v>
      </c>
      <c r="U18" s="17"/>
      <c r="V18" s="13">
        <v>0.25</v>
      </c>
      <c r="W18" s="3"/>
      <c r="X18"/>
      <c r="Y18" s="4" t="s">
        <v>13</v>
      </c>
      <c r="Z18" s="17"/>
      <c r="AA18" s="13">
        <v>0.45</v>
      </c>
      <c r="AB18" s="3"/>
    </row>
    <row r="19" spans="2:28" x14ac:dyDescent="0.35">
      <c r="C19" s="6">
        <v>44805</v>
      </c>
      <c r="D19" s="6">
        <f>EDATE(C19,1)</f>
        <v>44835</v>
      </c>
      <c r="E19" s="6">
        <f>EDATE(D19,1)</f>
        <v>44866</v>
      </c>
      <c r="F19" s="6">
        <f>EDATE(E19,1)</f>
        <v>44896</v>
      </c>
      <c r="G19" s="1" t="s">
        <v>6</v>
      </c>
      <c r="H19" s="1" t="s">
        <v>29</v>
      </c>
      <c r="T19" s="3"/>
      <c r="U19" s="3"/>
      <c r="V19" s="3"/>
      <c r="W19" s="3"/>
      <c r="Y19" s="3"/>
      <c r="Z19" s="3"/>
      <c r="AA19" s="3"/>
      <c r="AB19" s="3"/>
    </row>
    <row r="20" spans="2:28" x14ac:dyDescent="0.35">
      <c r="B20" s="2" t="s">
        <v>7</v>
      </c>
      <c r="C20" s="10">
        <v>145.97</v>
      </c>
      <c r="D20" s="10">
        <v>140.45400000000001</v>
      </c>
      <c r="E20" s="10">
        <v>137.15</v>
      </c>
      <c r="F20" s="10">
        <v>175.584</v>
      </c>
      <c r="G20" s="11"/>
      <c r="H20" s="11">
        <f t="shared" ref="H20:H24" si="1">F20/C20-1</f>
        <v>0.20287730355552513</v>
      </c>
      <c r="U20" s="25" t="s">
        <v>14</v>
      </c>
      <c r="V20" s="25" t="s">
        <v>15</v>
      </c>
      <c r="Z20" s="25" t="s">
        <v>14</v>
      </c>
      <c r="AA20" s="25" t="s">
        <v>15</v>
      </c>
    </row>
    <row r="21" spans="2:28" x14ac:dyDescent="0.35">
      <c r="B21" s="2" t="s">
        <v>8</v>
      </c>
      <c r="C21" s="10">
        <v>21.231999999999999</v>
      </c>
      <c r="D21" s="10">
        <v>16.906500000000001</v>
      </c>
      <c r="E21" s="10">
        <v>13.715000000000002</v>
      </c>
      <c r="F21" s="10">
        <v>14</v>
      </c>
      <c r="G21" s="11"/>
      <c r="H21" s="11">
        <f t="shared" si="1"/>
        <v>-0.34061793519216277</v>
      </c>
      <c r="T21" s="22" t="s">
        <v>16</v>
      </c>
      <c r="U21" s="23">
        <v>0</v>
      </c>
      <c r="V21" s="23">
        <f>V18</f>
        <v>0.25</v>
      </c>
      <c r="Y21" s="22" t="s">
        <v>16</v>
      </c>
      <c r="Z21" s="23">
        <v>0</v>
      </c>
      <c r="AA21" s="23">
        <f>AA18</f>
        <v>0.45</v>
      </c>
    </row>
    <row r="22" spans="2:28" x14ac:dyDescent="0.35">
      <c r="B22" s="2" t="s">
        <v>9</v>
      </c>
      <c r="C22" s="10">
        <v>23.885999999999996</v>
      </c>
      <c r="D22" s="10">
        <v>23.929200000000002</v>
      </c>
      <c r="E22" s="10">
        <v>24.687000000000001</v>
      </c>
      <c r="F22" s="10">
        <v>12</v>
      </c>
      <c r="G22" s="11"/>
      <c r="H22" s="11">
        <f t="shared" si="1"/>
        <v>-0.49761366490831438</v>
      </c>
      <c r="T22" s="22" t="s">
        <v>17</v>
      </c>
      <c r="U22" s="23">
        <v>0.25</v>
      </c>
      <c r="V22" s="23">
        <v>0.02</v>
      </c>
      <c r="Y22" s="22" t="s">
        <v>17</v>
      </c>
      <c r="Z22" s="23">
        <v>0.25</v>
      </c>
      <c r="AA22" s="23">
        <v>0.02</v>
      </c>
    </row>
    <row r="23" spans="2:28" x14ac:dyDescent="0.35">
      <c r="B23" s="2" t="s">
        <v>10</v>
      </c>
      <c r="C23" s="10">
        <v>29</v>
      </c>
      <c r="D23" s="10">
        <v>42.916500000000006</v>
      </c>
      <c r="E23" s="10">
        <v>48.002499999999998</v>
      </c>
      <c r="F23" s="10">
        <v>66.575599999999994</v>
      </c>
      <c r="G23" s="11"/>
      <c r="H23" s="11">
        <f t="shared" si="1"/>
        <v>1.2957103448275862</v>
      </c>
      <c r="T23" s="22" t="s">
        <v>12</v>
      </c>
      <c r="U23" s="23">
        <v>0.5</v>
      </c>
      <c r="V23" s="24">
        <f>200%-V21-V22</f>
        <v>1.73</v>
      </c>
      <c r="Y23" s="22" t="s">
        <v>12</v>
      </c>
      <c r="Z23" s="23">
        <v>0.5</v>
      </c>
      <c r="AA23" s="24">
        <f>200%-AA21-AA22</f>
        <v>1.53</v>
      </c>
    </row>
    <row r="24" spans="2:28" x14ac:dyDescent="0.35">
      <c r="B24" s="2" t="s">
        <v>11</v>
      </c>
      <c r="C24" s="10">
        <v>33.440399999999997</v>
      </c>
      <c r="D24" s="10">
        <v>35.893800000000006</v>
      </c>
      <c r="E24" s="10">
        <v>50.745500000000014</v>
      </c>
      <c r="F24" s="10">
        <v>75.720600000000033</v>
      </c>
      <c r="G24" s="11"/>
      <c r="H24" s="11">
        <f t="shared" si="1"/>
        <v>1.2643449241037801</v>
      </c>
      <c r="T24" s="22" t="s">
        <v>18</v>
      </c>
      <c r="U24" s="23">
        <v>0.25</v>
      </c>
      <c r="Y24" s="22" t="s">
        <v>18</v>
      </c>
      <c r="Z24" s="23">
        <v>0.25</v>
      </c>
    </row>
    <row r="25" spans="2:28" x14ac:dyDescent="0.35">
      <c r="B25" s="2" t="s">
        <v>26</v>
      </c>
      <c r="C25" s="10">
        <v>43</v>
      </c>
      <c r="D25" s="10">
        <v>89</v>
      </c>
      <c r="E25" s="10">
        <v>66</v>
      </c>
      <c r="F25" s="10">
        <v>44</v>
      </c>
      <c r="G25" s="11"/>
      <c r="H25" s="11">
        <f>F25/C25-1</f>
        <v>2.3255813953488413E-2</v>
      </c>
      <c r="T25" s="22" t="s">
        <v>19</v>
      </c>
      <c r="U25" s="23">
        <v>1</v>
      </c>
      <c r="Y25" s="22" t="s">
        <v>19</v>
      </c>
      <c r="Z25" s="23">
        <v>1</v>
      </c>
    </row>
    <row r="26" spans="2:28" x14ac:dyDescent="0.35">
      <c r="H26" s="11"/>
    </row>
    <row r="27" spans="2:28" x14ac:dyDescent="0.35">
      <c r="T27" s="27" t="s">
        <v>43</v>
      </c>
      <c r="U27" s="27"/>
      <c r="V27" s="27"/>
      <c r="W27" s="27"/>
      <c r="Y27" s="27" t="s">
        <v>42</v>
      </c>
      <c r="Z27" s="27"/>
      <c r="AA27" s="27"/>
      <c r="AB27" s="27"/>
    </row>
    <row r="28" spans="2:28" x14ac:dyDescent="0.35">
      <c r="B28" s="28" t="s">
        <v>24</v>
      </c>
      <c r="C28" s="28"/>
      <c r="D28" s="28"/>
      <c r="E28" s="28"/>
      <c r="F28" s="28"/>
      <c r="G28" s="28"/>
      <c r="H28" s="28"/>
      <c r="J28" s="28" t="s">
        <v>33</v>
      </c>
      <c r="K28" s="28"/>
      <c r="L28" s="28"/>
      <c r="M28" s="28"/>
      <c r="N28" s="28"/>
      <c r="O28" s="28"/>
      <c r="U28" s="25" t="s">
        <v>20</v>
      </c>
      <c r="V28" s="25" t="s">
        <v>21</v>
      </c>
    </row>
    <row r="29" spans="2:28" x14ac:dyDescent="0.35">
      <c r="T29" s="22" t="s">
        <v>30</v>
      </c>
      <c r="U29">
        <v>450</v>
      </c>
      <c r="V29">
        <v>360</v>
      </c>
      <c r="Y29" t="s">
        <v>34</v>
      </c>
      <c r="Z29">
        <v>500</v>
      </c>
    </row>
    <row r="30" spans="2:28" x14ac:dyDescent="0.35">
      <c r="T30" s="22" t="s">
        <v>22</v>
      </c>
      <c r="U30">
        <v>111</v>
      </c>
      <c r="V30">
        <v>50</v>
      </c>
      <c r="Y30" t="s">
        <v>35</v>
      </c>
      <c r="Z30">
        <v>120</v>
      </c>
    </row>
    <row r="31" spans="2:28" x14ac:dyDescent="0.35">
      <c r="T31" s="22" t="s">
        <v>23</v>
      </c>
      <c r="U31">
        <v>305</v>
      </c>
      <c r="V31">
        <v>425</v>
      </c>
      <c r="Y31" t="s">
        <v>36</v>
      </c>
      <c r="Z31">
        <f>-45</f>
        <v>-45</v>
      </c>
    </row>
    <row r="32" spans="2:28" x14ac:dyDescent="0.35">
      <c r="T32" s="22" t="s">
        <v>31</v>
      </c>
      <c r="U32">
        <v>240</v>
      </c>
      <c r="V32">
        <v>195</v>
      </c>
      <c r="Y32" t="s">
        <v>37</v>
      </c>
      <c r="Z32">
        <f>-248</f>
        <v>-248</v>
      </c>
    </row>
    <row r="33" spans="20:26" x14ac:dyDescent="0.35">
      <c r="T33" s="22" t="s">
        <v>32</v>
      </c>
      <c r="U33">
        <v>145</v>
      </c>
      <c r="V33">
        <v>160</v>
      </c>
      <c r="Y33" s="14" t="s">
        <v>38</v>
      </c>
      <c r="Z33" s="14">
        <f>SUM(Z29:Z32)</f>
        <v>327</v>
      </c>
    </row>
  </sheetData>
  <mergeCells count="10">
    <mergeCell ref="B28:H28"/>
    <mergeCell ref="J28:O28"/>
    <mergeCell ref="B17:H17"/>
    <mergeCell ref="J17:O17"/>
    <mergeCell ref="T16:W16"/>
    <mergeCell ref="Y16:AB16"/>
    <mergeCell ref="Y27:AB27"/>
    <mergeCell ref="T27:W27"/>
    <mergeCell ref="B4:O4"/>
    <mergeCell ref="T4:W4"/>
  </mergeCells>
  <conditionalFormatting sqref="H20:H26">
    <cfRule type="iconSet" priority="1">
      <iconSet iconSet="3Flags">
        <cfvo type="percent" val="0"/>
        <cfvo type="num" val="0"/>
        <cfvo type="num" val="0"/>
      </iconSet>
    </cfRule>
  </conditionalFormatting>
  <dataValidations count="1">
    <dataValidation type="decimal" allowBlank="1" showInputMessage="1" showErrorMessage="1" sqref="V18:W18 AA18:AB18" xr:uid="{50F3DB00-790A-47C5-9D5C-6DEC891739B0}">
      <formula1>0</formula1>
      <formula2>1</formula2>
    </dataValidation>
  </dataValidation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4F4CAF9B-E08D-4434-9FC5-12030D85085C}">
            <x14:iconSet custom="1">
              <x14:cfvo type="percent">
                <xm:f>0</xm:f>
              </x14:cfvo>
              <x14:cfvo type="num" gte="0">
                <xm:f>0</xm:f>
              </x14:cfvo>
              <x14:cfvo type="num">
                <xm:f>0</xm:f>
              </x14:cfvo>
              <x14:cfIcon iconSet="3Triangles" iconId="0"/>
              <x14:cfIcon iconSet="3Triangles" iconId="0"/>
              <x14:cfIcon iconSet="3Triangles" iconId="2"/>
            </x14:iconSet>
          </x14:cfRule>
          <xm:sqref>G20:G25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lineWeight="3" displayEmptyCellsAs="gap" xr2:uid="{27EDBA92-89F1-45CD-8AA1-7296B6318698}">
          <x14:colorSeries rgb="FF00B05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Dashboard!C20:F20</xm:f>
              <xm:sqref>G20</xm:sqref>
            </x14:sparkline>
            <x14:sparkline>
              <xm:f>Dashboard!C21:F21</xm:f>
              <xm:sqref>G21</xm:sqref>
            </x14:sparkline>
            <x14:sparkline>
              <xm:f>Dashboard!C22:F22</xm:f>
              <xm:sqref>G22</xm:sqref>
            </x14:sparkline>
            <x14:sparkline>
              <xm:f>Dashboard!C23:F23</xm:f>
              <xm:sqref>G23</xm:sqref>
            </x14:sparkline>
            <x14:sparkline>
              <xm:f>Dashboard!C24:F24</xm:f>
              <xm:sqref>G24</xm:sqref>
            </x14:sparkline>
            <x14:sparkline>
              <xm:f>Dashboard!C25:F25</xm:f>
              <xm:sqref>G25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Karzin Tamang</cp:lastModifiedBy>
  <dcterms:created xsi:type="dcterms:W3CDTF">2022-12-12T08:39:58Z</dcterms:created>
  <dcterms:modified xsi:type="dcterms:W3CDTF">2026-01-09T03:00:10Z</dcterms:modified>
</cp:coreProperties>
</file>